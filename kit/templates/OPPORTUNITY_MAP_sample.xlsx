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CHE_MAP" sheetId="1" state="visible" r:id="rId3"/>
    <sheet name="PRICE_INT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<sst xmlns="http://schemas.openxmlformats.org/spreadsheetml/2006/main" count="40" uniqueCount="40">
  <si>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OPPORTUNITY MAP — bản đồ ngách &amp; sản phẩm</t>
  </si>
  <si>
    <t xml:space="preserve">CS4+CS6 · Quadrant tự tính theo median | Nguồn: analyzer opportunity</t>
  </si>
  <si>
    <t xml:space="preserve">Từ khoá/Ngách</t>
  </si>
  <si>
    <t xml:space="preserve">Số bài</t>
  </si>
  <si>
    <t xml:space="preserve">Eng TB</t>
  </si>
  <si>
    <t xml:space="preserve">Save TB</t>
  </si>
  <si>
    <t xml:space="preserve">Quadrant</t>
  </si>
  <si>
    <t xml:space="preserve">Quyết định</t>
  </si>
  <si>
    <t xml:space="preserve">Ghi chú</t>
  </si>
  <si>
    <t xml:space="preserve">油皮护肤</t>
  </si>
  <si>
    <t xml:space="preserve">ĐÁNH</t>
  </si>
  <si>
    <t xml:space="preserve">Nhu cầu save cao, ít bài — vào ngay Q3</t>
  </si>
  <si>
    <t xml:space="preserve">平价面霜</t>
  </si>
  <si>
    <t xml:space="preserve">Cần angle lạ</t>
  </si>
  <si>
    <t xml:space="preserve">Đông nhưng vẫn ngon nếu hook khác biệt</t>
  </si>
  <si>
    <t xml:space="preserve">男士护肤</t>
  </si>
  <si>
    <t xml:space="preserve">Chờ</t>
  </si>
  <si>
    <t xml:space="preserve">Cầu chưa rõ, theo dõi thêm 4 tuần</t>
  </si>
  <si>
    <t xml:space="preserve">身体乳</t>
  </si>
  <si>
    <t xml:space="preserve">TRÁNH</t>
  </si>
  <si>
    <t xml:space="preserve">Bão hoà, biên mỏng</t>
  </si>
  <si>
    <t xml:space="preserve">Chú giải: Quadrant tự tính khi thay số — thêm dòng thì kéo dài vùng MEDIAN.</t>
  </si>
  <si>
    <t xml:space="preserve">PRICE &amp; PROMO INTEL</t>
  </si>
  <si>
    <t xml:space="preserve">CS8 · Tình báo giá đối thủ | Nguồn: analyzer price</t>
  </si>
  <si>
    <t xml:space="preserve">Đối thủ/SP</t>
  </si>
  <si>
    <t xml:space="preserve">Giá quan sát</t>
  </si>
  <si>
    <t xml:space="preserve">Combo/Mồi KM</t>
  </si>
  <si>
    <t xml:space="preserve">Nguồn (keyword)</t>
  </si>
  <si>
    <t xml:space="preserve">Eng bài đó</t>
  </si>
  <si>
    <t xml:space="preserve">Đối sách offer của ta</t>
  </si>
  <si>
    <t xml:space="preserve">Brand X serum</t>
  </si>
  <si>
    <t xml:space="preserve">¥199 (~700k)</t>
  </si>
  <si>
    <r>
      <rPr>
        <sz val="10"/>
        <color rgb="FF0000FF"/>
        <rFont val="Noto Sans CJK SC"/>
        <family val="2"/>
      </rPr>
      <t xml:space="preserve">第二件半价 </t>
    </r>
    <r>
      <rPr>
        <sz val="10"/>
        <color rgb="FF0000FF"/>
        <rFont val="Arial"/>
        <family val="0"/>
        <charset val="1"/>
      </rPr>
      <t xml:space="preserve">(cái 2 giảm 50%)</t>
    </r>
  </si>
  <si>
    <t xml:space="preserve">护肤</t>
  </si>
  <si>
    <t xml:space="preserve">Combo 2 giá 899k + quà mini size</t>
  </si>
  <si>
    <t xml:space="preserve">Brand Y cream</t>
  </si>
  <si>
    <t xml:space="preserve">¥89</t>
  </si>
  <si>
    <r>
      <rPr>
        <sz val="10"/>
        <color rgb="FF0000FF"/>
        <rFont val="Noto Sans CJK SC"/>
        <family val="2"/>
      </rPr>
      <t xml:space="preserve">限时券 </t>
    </r>
    <r>
      <rPr>
        <sz val="10"/>
        <color rgb="FF0000FF"/>
        <rFont val="Arial"/>
        <family val="0"/>
        <charset val="1"/>
      </rPr>
      <t xml:space="preserve">20</t>
    </r>
    <r>
      <rPr>
        <sz val="10"/>
        <color rgb="FF0000FF"/>
        <rFont val="Noto Sans CJK SC"/>
        <family val="2"/>
      </rPr>
      <t xml:space="preserve">元</t>
    </r>
  </si>
  <si>
    <t xml:space="preserve">面霜</t>
  </si>
  <si>
    <t xml:space="preserve">Voucher giỏ vàng 30k + freeship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</si>
</sst>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44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44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DDD"/>
      </left>
      <right style="thin">
        <color rgb="FFC9CDDD"/>
      </right>
      <top style="thin">
        <color rgb="FFC9CDDD"/>
      </top>
      <bottom style="thin">
        <color rgb="FFC9C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v>34</v>
      </c>
      <c r="C5" s="4" t="n">
        <v>18200</v>
      </c>
      <c r="D5" s="4" t="n">
        <v>5200</v>
      </c>
      <c r="E5" s="5" t="str">
        <f aca="false">IF(AND(B5&lt;=MEDIAN($B$5:$B$8),D5&gt;MEDIAN($D$5:$D$8)),"🌊 biển xanh",IF(AND(B5&gt;MEDIAN($B$5:$B$8),D5&gt;MEDIAN($D$5:$D$8)),"⚔ cạnh tranh",IF(B5&lt;=MEDIAN($B$5:$B$8),"🏜 sa mạc","🔴 bão hoà")))</f>
        <v>🌊 biển xanh</v>
      </c>
      <c r="F5" s="6" t="s">
        <v>10</v>
      </c>
      <c r="G5" s="6" t="s">
        <v>11</v>
      </c>
    </row>
    <row r="6" customFormat="false" ht="15" hidden="false" customHeight="false" outlineLevel="0" collapsed="false">
      <c r="A6" s="4" t="s">
        <v>12</v>
      </c>
      <c r="B6" s="4" t="n">
        <v>96</v>
      </c>
      <c r="C6" s="4" t="n">
        <v>21000</v>
      </c>
      <c r="D6" s="4" t="n">
        <v>6100</v>
      </c>
      <c r="E6" s="5" t="str">
        <f aca="false">IF(AND(B6&lt;=MEDIAN($B$5:$B$8),D6&gt;MEDIAN($D$5:$D$8)),"🌊 biển xanh",IF(AND(B6&gt;MEDIAN($B$5:$B$8),D6&gt;MEDIAN($D$5:$D$8)),"⚔ cạnh tranh",IF(B6&lt;=MEDIAN($B$5:$B$8),"🏜 sa mạc","🔴 bão hoà")))</f>
        <v>⚔ cạnh tranh</v>
      </c>
      <c r="F6" s="6" t="s">
        <v>13</v>
      </c>
      <c r="G6" s="6" t="s">
        <v>14</v>
      </c>
    </row>
    <row r="7" customFormat="false" ht="15" hidden="false" customHeight="false" outlineLevel="0" collapsed="false">
      <c r="A7" s="4" t="s">
        <v>15</v>
      </c>
      <c r="B7" s="4" t="n">
        <v>22</v>
      </c>
      <c r="C7" s="4" t="n">
        <v>8000</v>
      </c>
      <c r="D7" s="4" t="n">
        <v>1900</v>
      </c>
      <c r="E7" s="5" t="str">
        <f aca="false">IF(AND(B7&lt;=MEDIAN($B$5:$B$8),D7&gt;MEDIAN($D$5:$D$8)),"🌊 biển xanh",IF(AND(B7&gt;MEDIAN($B$5:$B$8),D7&gt;MEDIAN($D$5:$D$8)),"⚔ cạnh tranh",IF(B7&lt;=MEDIAN($B$5:$B$8),"🏜 sa mạc","🔴 bão hoà")))</f>
        <v>🏜 sa mạc</v>
      </c>
      <c r="F7" s="6" t="s">
        <v>16</v>
      </c>
      <c r="G7" s="6" t="s">
        <v>17</v>
      </c>
    </row>
    <row r="8" customFormat="false" ht="15" hidden="false" customHeight="false" outlineLevel="0" collapsed="false">
      <c r="A8" s="4" t="s">
        <v>18</v>
      </c>
      <c r="B8" s="4" t="n">
        <v>141</v>
      </c>
      <c r="C8" s="4" t="n">
        <v>9500</v>
      </c>
      <c r="D8" s="4" t="n">
        <v>2100</v>
      </c>
      <c r="E8" s="5" t="str">
        <f aca="false">IF(AND(B8&lt;=MEDIAN($B$5:$B$8),D8&gt;MEDIAN($D$5:$D$8)),"🌊 biển xanh",IF(AND(B8&gt;MEDIAN($B$5:$B$8),D8&gt;MEDIAN($D$5:$D$8)),"⚔ cạnh tranh",IF(B8&lt;=MEDIAN($B$5:$B$8),"🏜 sa mạc","🔴 bão hoà")))</f>
        <v>🔴 bão hoà</v>
      </c>
      <c r="F8" s="6" t="s">
        <v>19</v>
      </c>
      <c r="G8" s="6" t="s">
        <v>20</v>
      </c>
    </row>
    <row r="10" customFormat="false" ht="15" hidden="false" customHeight="false" outlineLevel="0" collapsed="false">
      <c r="A10" s="7" t="s">
        <v>21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</row>
    <row r="5" customFormat="false" ht="15" hidden="false" customHeight="false" outlineLevel="0" collapsed="false">
      <c r="A5" s="6" t="s">
        <v>30</v>
      </c>
      <c r="B5" s="6" t="s">
        <v>31</v>
      </c>
      <c r="C5" s="4" t="s">
        <v>32</v>
      </c>
      <c r="D5" s="4" t="s">
        <v>33</v>
      </c>
      <c r="E5" s="4" t="n">
        <v>88000</v>
      </c>
      <c r="F5" s="6" t="s">
        <v>34</v>
      </c>
    </row>
    <row r="6" customFormat="false" ht="15" hidden="false" customHeight="false" outlineLevel="0" collapsed="false">
      <c r="A6" s="6" t="s">
        <v>35</v>
      </c>
      <c r="B6" s="6" t="s">
        <v>36</v>
      </c>
      <c r="C6" s="4" t="s">
        <v>37</v>
      </c>
      <c r="D6" s="4" t="s">
        <v>38</v>
      </c>
      <c r="E6" s="4" t="n">
        <v>41000</v>
      </c>
      <c r="F6" s="6" t="s">
        <v>39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2026-07-18T15:13:18Z</dcterms:created>
  <dc:creator>openpyxl</dc:creator>
  <dc:description/>
  <dc:language>en-US</dc:language>
  <cp:lastModifiedBy/>
  <dcterms:modified xsi:type="dcterms:W3CDTF">2026-07-18T15:13:18Z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