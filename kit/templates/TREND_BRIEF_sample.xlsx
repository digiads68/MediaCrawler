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END_BRIEF" sheetId="1" state="visible" r:id="rId3"/>
    <sheet name="SOUND_WATCHLI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<sst xmlns="http://schemas.openxmlformats.org/spreadsheetml/2006/main" count="33" uniqueCount="33">
  <si>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TREND BRIEF — Tuần __ / 2026</t>
  </si>
  <si>
    <t xml:space="preserve">CS1 · Radar xu hướng | Nguồn: MediaCrawler + analyzer trend | Người lập: Content Lead</t>
  </si>
  <si>
    <t xml:space="preserve">#</t>
  </si>
  <si>
    <t xml:space="preserve">Format</t>
  </si>
  <si>
    <t xml:space="preserve">Hook mẫu (đã bản địa hoá)</t>
  </si>
  <si>
    <t xml:space="preserve">Nền tảng</t>
  </si>
  <si>
    <t xml:space="preserve">Like</t>
  </si>
  <si>
    <t xml:space="preserve">Save</t>
  </si>
  <si>
    <t xml:space="preserve">Share</t>
  </si>
  <si>
    <t xml:space="preserve">Điểm trend</t>
  </si>
  <si>
    <t xml:space="preserve">Hành động</t>
  </si>
  <si>
    <t xml:space="preserve">before-after</t>
  </si>
  <si>
    <t xml:space="preserve">Da dầu mà vẫn bóng nhờn? 90% làm sai bước này</t>
  </si>
  <si>
    <t xml:space="preserve">Douyin</t>
  </si>
  <si>
    <t xml:space="preserve">Brief AI video 18s cho SP kiềm dầu</t>
  </si>
  <si>
    <t xml:space="preserve">list/top</t>
  </si>
  <si>
    <t xml:space="preserve">5 món dưới 200k tôi mua lại lần 3</t>
  </si>
  <si>
    <t xml:space="preserve">XHS</t>
  </si>
  <si>
    <t xml:space="preserve">Giao KOC quay bản Việt</t>
  </si>
  <si>
    <t xml:space="preserve">Chú giải: Ô chữ XANH = nhập tay/từ analyzer · Điểm trend = công thức tự tính (save 40% + share 30% + like 30%) · 10 dòng/tuần.</t>
  </si>
  <si>
    <t xml:space="preserve">SOUND WATCHLIST — nhạc đang lên</t>
  </si>
  <si>
    <t xml:space="preserve">CS10 · Chỉ dùng lại qua thư viện nhạc hợp lệ của TikTok, không bê file gốc</t>
  </si>
  <si>
    <t xml:space="preserve">Sound ref</t>
  </si>
  <si>
    <t xml:space="preserve">Số video tuần này</t>
  </si>
  <si>
    <t xml:space="preserve">Tuần trước</t>
  </si>
  <si>
    <t xml:space="preserve">Velocity</t>
  </si>
  <si>
    <t xml:space="preserve">Eng TB</t>
  </si>
  <si>
    <t xml:space="preserve">Ghi chú sử dụng</t>
  </si>
  <si>
    <r>
      <rPr>
        <sz val="10"/>
        <color rgb="FF0000FF"/>
        <rFont val="Arial"/>
        <family val="0"/>
        <charset val="1"/>
      </rPr>
      <t xml:space="preserve">snd_A_</t>
    </r>
    <r>
      <rPr>
        <sz val="10"/>
        <color rgb="FF0000FF"/>
        <rFont val="Noto Sans CJK SC"/>
        <family val="2"/>
      </rPr>
      <t xml:space="preserve">喔喔喔</t>
    </r>
    <r>
      <rPr>
        <sz val="10"/>
        <color rgb="FF0000FF"/>
        <rFont val="Arial"/>
        <family val="0"/>
        <charset val="1"/>
      </rPr>
      <t xml:space="preserve">remix</t>
    </r>
  </si>
  <si>
    <t xml:space="preserve">Hợp video nhịp nhanh, cắt cảnh 0.8s</t>
  </si>
  <si>
    <t xml:space="preserve">snd_B_piano_calm</t>
  </si>
  <si>
    <t xml:space="preserve">Hợp storytime, review chân thật</t>
  </si>
  <si>
    <t xml:space="preserve">Chú giải: Velocity ≥ 1.5 = đang bùng nổ, ưu tiên bám trong 7 ngày tới.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</si>
</sst>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44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FF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2440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DDD"/>
      </left>
      <right style="thin">
        <color rgb="FFC9CDDD"/>
      </right>
      <top style="thin">
        <color rgb="FFC9CDDD"/>
      </top>
      <bottom style="thin">
        <color rgb="FFC9C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C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4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44"/>
    <col collapsed="false" customWidth="true" hidden="false" outlineLevel="0" max="7" min="4" style="0" width="10"/>
    <col collapsed="false" customWidth="true" hidden="false" outlineLevel="0" max="8" min="8" style="0" width="11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n">
        <v>1</v>
      </c>
      <c r="B5" s="5" t="s">
        <v>11</v>
      </c>
      <c r="C5" s="5" t="s">
        <v>12</v>
      </c>
      <c r="D5" s="5" t="s">
        <v>13</v>
      </c>
      <c r="E5" s="5" t="n">
        <v>128000</v>
      </c>
      <c r="F5" s="5" t="n">
        <v>31000</v>
      </c>
      <c r="G5" s="5" t="n">
        <v>9800</v>
      </c>
      <c r="H5" s="4" t="n">
        <f aca="false">ROUND((0.4*F5/MAX($F$5:$F$14)+0.3*G5/MAX($G$5:$G$14)+0.3*E5/MAX($E$5:$E$14))*100,1)</f>
        <v>100</v>
      </c>
      <c r="I5" s="5" t="s">
        <v>14</v>
      </c>
    </row>
    <row r="6" customFormat="false" ht="15" hidden="false" customHeight="false" outlineLevel="0" collapsed="false">
      <c r="A6" s="4" t="n">
        <v>2</v>
      </c>
      <c r="B6" s="5" t="s">
        <v>15</v>
      </c>
      <c r="C6" s="5" t="s">
        <v>16</v>
      </c>
      <c r="D6" s="5" t="s">
        <v>17</v>
      </c>
      <c r="E6" s="5" t="n">
        <v>76000</v>
      </c>
      <c r="F6" s="5" t="n">
        <v>22000</v>
      </c>
      <c r="G6" s="5" t="n">
        <v>4100</v>
      </c>
      <c r="H6" s="4" t="n">
        <f aca="false">ROUND((0.4*F6/MAX($F$5:$F$14)+0.3*G6/MAX($G$5:$G$14)+0.3*E6/MAX($E$5:$E$14))*100,1)</f>
        <v>58.8</v>
      </c>
      <c r="I6" s="5" t="s">
        <v>18</v>
      </c>
    </row>
    <row r="16" customFormat="false" ht="15" hidden="false" customHeight="false" outlineLevel="0" collapsed="false">
      <c r="A16" s="6" t="s">
        <v>19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1" t="s">
        <v>20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</row>
    <row r="5" customFormat="false" ht="15" hidden="false" customHeight="false" outlineLevel="0" collapsed="false">
      <c r="A5" s="5" t="s">
        <v>28</v>
      </c>
      <c r="B5" s="5" t="n">
        <v>14</v>
      </c>
      <c r="C5" s="5" t="n">
        <v>6</v>
      </c>
      <c r="D5" s="4" t="n">
        <f aca="false">IFERROR(ROUND(B5/C5,2),"mới")</f>
        <v>2.33</v>
      </c>
      <c r="E5" s="5" t="n">
        <v>45200</v>
      </c>
      <c r="F5" s="5" t="s">
        <v>29</v>
      </c>
    </row>
    <row r="6" customFormat="false" ht="15" hidden="false" customHeight="false" outlineLevel="0" collapsed="false">
      <c r="A6" s="5" t="s">
        <v>30</v>
      </c>
      <c r="B6" s="5" t="n">
        <v>9</v>
      </c>
      <c r="C6" s="5" t="n">
        <v>8</v>
      </c>
      <c r="D6" s="4" t="n">
        <f aca="false">IFERROR(ROUND(B6/C6,2),"mới")</f>
        <v>1.13</v>
      </c>
      <c r="E6" s="5" t="n">
        <v>21000</v>
      </c>
      <c r="F6" s="5" t="s">
        <v>31</v>
      </c>
    </row>
    <row r="8" customFormat="false" ht="15" hidden="false" customHeight="false" outlineLevel="0" collapsed="false">
      <c r="A8" s="6" t="s">
        <v>32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2026-07-18T15:13:18Z</dcterms:created>
  <dc:creator>openpyxl</dc:creator>
  <dc:description/>
  <dc:language>en-US</dc:language>
  <cp:lastModifiedBy/>
  <dcterms:modified xsi:type="dcterms:W3CDTF">2026-07-18T15:13:18Z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