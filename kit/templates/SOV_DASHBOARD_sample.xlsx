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OV_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<sst xmlns="http://schemas.openxmlformats.org/spreadsheetml/2006/main" count="30" uniqueCount="19">
  <si>
    <t xml:space="preserve">SOV DATA — nhập từ analyzer</t>
  </si>
  <si>
    <t xml:space="preserve">CS11 · Mỗi dòng = 1 brand × 1 tuần | Nguồn: CS11_sov_weekly.xlsx</t>
  </si>
  <si>
    <t xml:space="preserve">Tuần</t>
  </si>
  <si>
    <t xml:space="preserve">Brand</t>
  </si>
  <si>
    <t xml:space="preserve">Số bài</t>
  </si>
  <si>
    <t xml:space="preserve">Engagement</t>
  </si>
  <si>
    <t xml:space="preserve">2026-W28</t>
  </si>
  <si>
    <t xml:space="preserve">BrandA</t>
  </si>
  <si>
    <t xml:space="preserve">BrandB</t>
  </si>
  <si>
    <t xml:space="preserve">BrandC</t>
  </si>
  <si>
    <t xml:space="preserve">2026-W29</t>
  </si>
  <si>
    <t xml:space="preserve">SHARE OF VOICE — báo cáo khách hàng</t>
  </si>
  <si>
    <t xml:space="preserve">CS11 · %SOV = engagement brand / tổng ngành trong tuần (tự tính từ sheet DATA)</t>
  </si>
  <si>
    <t xml:space="preserve">Eng W28</t>
  </si>
  <si>
    <t xml:space="preserve">Eng W29</t>
  </si>
  <si>
    <t xml:space="preserve">SOV% W28</t>
  </si>
  <si>
    <t xml:space="preserve">SOV% W29</t>
  </si>
  <si>
    <t xml:space="preserve">Biến động</t>
  </si>
  <si>
    <t xml:space="preserve">Chú giải: Thêm tuần mới: thêm cột Eng/SOV và sửa mã tuần trong SUMIFS · Biến động dương = brand đang chiếm sóng.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</si>
</sst>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44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440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DDD"/>
      </left>
      <right style="thin">
        <color rgb="FFC9CDDD"/>
      </right>
      <top style="thin">
        <color rgb="FFC9CDDD"/>
      </top>
      <bottom style="thin">
        <color rgb="FFC9C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C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n">
        <v>42</v>
      </c>
      <c r="D5" s="4" t="n">
        <v>512000</v>
      </c>
    </row>
    <row r="6" customFormat="false" ht="15" hidden="false" customHeight="false" outlineLevel="0" collapsed="false">
      <c r="A6" s="4" t="s">
        <v>6</v>
      </c>
      <c r="B6" s="4" t="s">
        <v>8</v>
      </c>
      <c r="C6" s="4" t="n">
        <v>31</v>
      </c>
      <c r="D6" s="4" t="n">
        <v>388000</v>
      </c>
    </row>
    <row r="7" customFormat="false" ht="15" hidden="false" customHeight="false" outlineLevel="0" collapsed="false">
      <c r="A7" s="4" t="s">
        <v>6</v>
      </c>
      <c r="B7" s="4" t="s">
        <v>9</v>
      </c>
      <c r="C7" s="4" t="n">
        <v>12</v>
      </c>
      <c r="D7" s="4" t="n">
        <v>95000</v>
      </c>
    </row>
    <row r="8" customFormat="false" ht="15" hidden="false" customHeight="false" outlineLevel="0" collapsed="false">
      <c r="A8" s="4" t="s">
        <v>10</v>
      </c>
      <c r="B8" s="4" t="s">
        <v>7</v>
      </c>
      <c r="C8" s="4" t="n">
        <v>39</v>
      </c>
      <c r="D8" s="4" t="n">
        <v>471000</v>
      </c>
    </row>
    <row r="9" customFormat="false" ht="15" hidden="false" customHeight="false" outlineLevel="0" collapsed="false">
      <c r="A9" s="4" t="s">
        <v>10</v>
      </c>
      <c r="B9" s="4" t="s">
        <v>8</v>
      </c>
      <c r="C9" s="4" t="n">
        <v>44</v>
      </c>
      <c r="D9" s="4" t="n">
        <v>602000</v>
      </c>
    </row>
    <row r="10" customFormat="false" ht="15" hidden="false" customHeight="false" outlineLevel="0" collapsed="false">
      <c r="A10" s="4" t="s">
        <v>10</v>
      </c>
      <c r="B10" s="4" t="s">
        <v>9</v>
      </c>
      <c r="C10" s="4" t="n">
        <v>15</v>
      </c>
      <c r="D10" s="4" t="n">
        <v>130000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5" min="4" style="0" width="11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3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customFormat="false" ht="15" hidden="false" customHeight="false" outlineLevel="0" collapsed="false">
      <c r="A5" s="5" t="s">
        <v>7</v>
      </c>
      <c r="B5" s="6" t="n">
        <f aca="false">SUMIFS(DATA!$D:$D,DATA!$B:$B,A5,DATA!$A:$A,"2026-W28")</f>
        <v>512000</v>
      </c>
      <c r="C5" s="6" t="n">
        <f aca="false">SUMIFS(DATA!$D:$D,DATA!$B:$B,A5,DATA!$A:$A,"2026-W29")</f>
        <v>471000</v>
      </c>
      <c r="D5" s="6" t="n">
        <f aca="false">IFERROR(ROUND(B5/SUM($B$5:$B$7)*100,1),0)</f>
        <v>51.5</v>
      </c>
      <c r="E5" s="6" t="n">
        <f aca="false">IFERROR(ROUND(C5/SUM($C$5:$C$7)*100,1),0)</f>
        <v>39.2</v>
      </c>
      <c r="F5" s="6" t="n">
        <f aca="false">ROUND(E5-D5,1)</f>
        <v>-12.3</v>
      </c>
    </row>
    <row r="6" customFormat="false" ht="15" hidden="false" customHeight="false" outlineLevel="0" collapsed="false">
      <c r="A6" s="5" t="s">
        <v>8</v>
      </c>
      <c r="B6" s="6" t="n">
        <f aca="false">SUMIFS(DATA!$D:$D,DATA!$B:$B,A6,DATA!$A:$A,"2026-W28")</f>
        <v>388000</v>
      </c>
      <c r="C6" s="6" t="n">
        <f aca="false">SUMIFS(DATA!$D:$D,DATA!$B:$B,A6,DATA!$A:$A,"2026-W29")</f>
        <v>602000</v>
      </c>
      <c r="D6" s="6" t="n">
        <f aca="false">IFERROR(ROUND(B6/SUM($B$5:$B$7)*100,1),0)</f>
        <v>39</v>
      </c>
      <c r="E6" s="6" t="n">
        <f aca="false">IFERROR(ROUND(C6/SUM($C$5:$C$7)*100,1),0)</f>
        <v>50</v>
      </c>
      <c r="F6" s="6" t="n">
        <f aca="false">ROUND(E6-D6,1)</f>
        <v>11</v>
      </c>
    </row>
    <row r="7" customFormat="false" ht="15" hidden="false" customHeight="false" outlineLevel="0" collapsed="false">
      <c r="A7" s="5" t="s">
        <v>9</v>
      </c>
      <c r="B7" s="6" t="n">
        <f aca="false">SUMIFS(DATA!$D:$D,DATA!$B:$B,A7,DATA!$A:$A,"2026-W28")</f>
        <v>95000</v>
      </c>
      <c r="C7" s="6" t="n">
        <f aca="false">SUMIFS(DATA!$D:$D,DATA!$B:$B,A7,DATA!$A:$A,"2026-W29")</f>
        <v>130000</v>
      </c>
      <c r="D7" s="6" t="n">
        <f aca="false">IFERROR(ROUND(B7/SUM($B$5:$B$7)*100,1),0)</f>
        <v>9.5</v>
      </c>
      <c r="E7" s="6" t="n">
        <f aca="false">IFERROR(ROUND(C7/SUM($C$5:$C$7)*100,1),0)</f>
        <v>10.8</v>
      </c>
      <c r="F7" s="6" t="n">
        <f aca="false">ROUND(E7-D7,1)</f>
        <v>1.3</v>
      </c>
    </row>
    <row r="9" customFormat="false" ht="15" hidden="false" customHeight="false" outlineLevel="0" collapsed="false">
      <c r="A9" s="7" t="s">
        <v>18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2026-07-18T15:13:18Z</dcterms:created>
  <dc:creator>openpyxl</dc:creator>
  <dc:description/>
  <dc:language>en-US</dc:language>
  <cp:lastModifiedBy/>
  <dcterms:modified xsi:type="dcterms:W3CDTF">2026-07-18T15:13:18Z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