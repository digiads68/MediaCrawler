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<sst xmlns="http://schemas.openxmlformats.org/spreadsheetml/2006/main" count="18" uniqueCount="17">
  <si>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KOC SCORECARD</t>
  </si>
  <si>
    <t xml:space="preserve">CS3+CS9 · Thẩm định &amp; săn KOC | Nguồn: analyzer koc | Verdict tự tính</t>
  </si>
  <si>
    <t xml:space="preserve">Creator</t>
  </si>
  <si>
    <t xml:space="preserve">Ngách</t>
  </si>
  <si>
    <t xml:space="preserve">Số video</t>
  </si>
  <si>
    <t xml:space="preserve">Eng TB/video</t>
  </si>
  <si>
    <t xml:space="preserve">Độ đều (0-1)</t>
  </si>
  <si>
    <t xml:space="preserve">Velocity</t>
  </si>
  <si>
    <t xml:space="preserve">Điểm tổng</t>
  </si>
  <si>
    <t xml:space="preserve">Verdict</t>
  </si>
  <si>
    <t xml:space="preserve">Giá đề xuất/clip</t>
  </si>
  <si>
    <t xml:space="preserve">creator_a***</t>
  </si>
  <si>
    <t xml:space="preserve">skincare</t>
  </si>
  <si>
    <t xml:space="preserve">creator_b***</t>
  </si>
  <si>
    <t xml:space="preserve">creator_c***</t>
  </si>
  <si>
    <t xml:space="preserve">mẹ&amp;bé</t>
  </si>
  <si>
    <t xml:space="preserve">Chú giải: Điểm tổng = 40% engagement + 35% độ đều + 25% velocity · Velocity ≥1.3 &amp; độ đều ≥0.4 = 'đang lên' (CS9) → ưu tiên đàm phán sớm.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</si>
</sst>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4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44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D"/>
      </left>
      <right style="thin">
        <color rgb="FFC9CDDD"/>
      </right>
      <top style="thin">
        <color rgb="FFC9CDDD"/>
      </top>
      <bottom style="thin">
        <color rgb="FFC9C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n">
        <v>18</v>
      </c>
      <c r="D5" s="4" t="n">
        <v>24500</v>
      </c>
      <c r="E5" s="4" t="n">
        <v>0.62</v>
      </c>
      <c r="F5" s="4" t="n">
        <v>1.45</v>
      </c>
      <c r="G5" s="5" t="n">
        <f aca="false">ROUND((0.4*D5/MAX($D$5:$D$9)+0.35*E5+0.25*F5/MAX($F$5:$F$9))*100,1)</f>
        <v>73.5</v>
      </c>
      <c r="H5" s="6" t="str">
        <f aca="false">IF(G5&gt;=65,"KÝ NGAY",IF(G5&gt;=40,"theo dõi","bỏ qua"))</f>
        <v>KÝ NGAY</v>
      </c>
      <c r="I5" s="4" t="n">
        <v>3500000</v>
      </c>
    </row>
    <row r="6" customFormat="false" ht="15" hidden="false" customHeight="false" outlineLevel="0" collapsed="false">
      <c r="A6" s="4" t="s">
        <v>13</v>
      </c>
      <c r="B6" s="4" t="s">
        <v>12</v>
      </c>
      <c r="C6" s="4" t="n">
        <v>25</v>
      </c>
      <c r="D6" s="4" t="n">
        <v>15800</v>
      </c>
      <c r="E6" s="4" t="n">
        <v>0.71</v>
      </c>
      <c r="F6" s="4" t="n">
        <v>0.95</v>
      </c>
      <c r="G6" s="5" t="n">
        <f aca="false">ROUND((0.4*D6/MAX($D$5:$D$9)+0.35*E6+0.25*F6/MAX($F$5:$F$9))*100,1)</f>
        <v>58.4</v>
      </c>
      <c r="H6" s="6" t="str">
        <f aca="false">IF(G6&gt;=65,"KÝ NGAY",IF(G6&gt;=40,"theo dõi","bỏ qua"))</f>
        <v>theo dõi</v>
      </c>
      <c r="I6" s="4" t="n">
        <v>2200000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n">
        <v>9</v>
      </c>
      <c r="D7" s="4" t="n">
        <v>31000</v>
      </c>
      <c r="E7" s="4" t="n">
        <v>0.38</v>
      </c>
      <c r="F7" s="4" t="n">
        <v>1.8</v>
      </c>
      <c r="G7" s="5" t="n">
        <f aca="false">ROUND((0.4*D7/MAX($D$5:$D$9)+0.35*E7+0.25*F7/MAX($F$5:$F$9))*100,1)</f>
        <v>78.3</v>
      </c>
      <c r="H7" s="6" t="str">
        <f aca="false">IF(G7&gt;=65,"KÝ NGAY",IF(G7&gt;=40,"theo dõi","bỏ qua"))</f>
        <v>KÝ NGAY</v>
      </c>
      <c r="I7" s="4" t="n">
        <v>4000000</v>
      </c>
    </row>
    <row r="9" customFormat="false" ht="15" hidden="false" customHeight="false" outlineLevel="0" collapsed="false">
      <c r="A9" s="7" t="s">
        <v>16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2026-07-18T15:13:18Z</dcterms:created>
  <dc:creator>openpyxl</dc:creator>
  <dc:description/>
  <dc:language>en-US</dc:language>
  <cp:lastModifiedBy/>
  <dcterms:modified xsi:type="dcterms:W3CDTF">2026-07-18T15:13:18Z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